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lci\Downloads\Pós\Hashtag\Modulo III\Disciplina 2\"/>
    </mc:Choice>
  </mc:AlternateContent>
  <xr:revisionPtr revIDLastSave="0" documentId="13_ncr:1_{546D08FC-2E63-4393-A176-C226ED5A3AA3}" xr6:coauthVersionLast="47" xr6:coauthVersionMax="47" xr10:uidLastSave="{00000000-0000-0000-0000-000000000000}"/>
  <bookViews>
    <workbookView xWindow="28665" yWindow="-135" windowWidth="29070" windowHeight="15750" tabRatio="500" activeTab="2" xr2:uid="{00000000-000D-0000-FFFF-FFFF00000000}"/>
  </bookViews>
  <sheets>
    <sheet name="Calculadora" sheetId="1" r:id="rId1"/>
    <sheet name="Coeficientes" sheetId="2" r:id="rId2"/>
    <sheet name="Model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15" i="1" l="1"/>
  <c r="B18" i="1" s="1"/>
  <c r="C19" i="1" s="1"/>
  <c r="B19" i="1" l="1"/>
  <c r="B23" i="1" s="1"/>
  <c r="B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>Coeficiente já convertido para reais.
O modelo foi treinado com valor_1_compra padronizado pelo StandardScaler:
  z = (x - 715.1108) / 665.9065
Para usar reais direto na planilha:
  coef_R$ = coef_padronizado / desvio
  intercepto_R$ = intercepto_padronizado - coef_padronizado * media / desvio</t>
        </r>
      </text>
    </comment>
  </commentList>
</comments>
</file>

<file path=xl/sharedStrings.xml><?xml version="1.0" encoding="utf-8"?>
<sst xmlns="http://schemas.openxmlformats.org/spreadsheetml/2006/main" count="163" uniqueCount="133">
  <si>
    <t>CALCULADORA DE LTV — Hashtag Treinamentos</t>
  </si>
  <si>
    <t>Estime o valor esperado de um cliente no momento da 1ª compra e defina o teto de investimento em aquisição.</t>
  </si>
  <si>
    <t>① PERFIL DO CLIENTE</t>
  </si>
  <si>
    <t>② DECOMPOSIÇÃO DA PREVISÃO</t>
  </si>
  <si>
    <t>Valor da 1ª compra (R$)</t>
  </si>
  <si>
    <t>Componente</t>
  </si>
  <si>
    <t>Contribuição</t>
  </si>
  <si>
    <t>O que significa</t>
  </si>
  <si>
    <t>1ª compra recorrente?</t>
  </si>
  <si>
    <t>Base do modelo (intercepto)</t>
  </si>
  <si>
    <t>ponto de partida de qualquer cliente</t>
  </si>
  <si>
    <t>Produto de entrada</t>
  </si>
  <si>
    <t>Power BI</t>
  </si>
  <si>
    <t>Valor da 1ª compra</t>
  </si>
  <si>
    <t>cada R$ 1,00 pago na entrada</t>
  </si>
  <si>
    <t>Estratégia de venda</t>
  </si>
  <si>
    <t>Lançamento</t>
  </si>
  <si>
    <t>Recorrência</t>
  </si>
  <si>
    <t>desconto quando a entrada é mensal</t>
  </si>
  <si>
    <t>Sexo</t>
  </si>
  <si>
    <t>Masculino</t>
  </si>
  <si>
    <t>vs. Análise de Dados (referência)</t>
  </si>
  <si>
    <t>Formação</t>
  </si>
  <si>
    <t>Superior Completo</t>
  </si>
  <si>
    <t>vs. Checkout (referência)</t>
  </si>
  <si>
    <t>Mês da compra</t>
  </si>
  <si>
    <t>Agosto</t>
  </si>
  <si>
    <t>vs. Feminino (referência)</t>
  </si>
  <si>
    <t>Dia da semana</t>
  </si>
  <si>
    <t>Terça</t>
  </si>
  <si>
    <t>vs. Fundamental (referência)</t>
  </si>
  <si>
    <t>vs. Abril (referência)</t>
  </si>
  <si>
    <t>Células amarelas = preencher. As demais são calculadas.</t>
  </si>
  <si>
    <t>vs. Domingo (referência)</t>
  </si>
  <si>
    <t>LTV PREVISTO</t>
  </si>
  <si>
    <t>soma de todos os componentes</t>
  </si>
  <si>
    <t>③ RESULTADO E DECISÃO DE MÍDIA</t>
  </si>
  <si>
    <t>LTV previsto</t>
  </si>
  <si>
    <t>Faixa provável (± erro médio do modelo)</t>
  </si>
  <si>
    <t>o modelo erra, em média, o valor da célula Modelo!B7</t>
  </si>
  <si>
    <t>% do LTV admitido como CAC</t>
  </si>
  <si>
    <t>política definida pela diretoria — ajuste aqui</t>
  </si>
  <si>
    <t>CAC MÁXIMO RECOMENDADO</t>
  </si>
  <si>
    <t>teto de investimento para adquirir este perfil de cliente</t>
  </si>
  <si>
    <t>CAC máximo no cenário conservador</t>
  </si>
  <si>
    <t>usa o piso da faixa provável — recomendado para decisões de orçamento</t>
  </si>
  <si>
    <t>COEFICIENTES DO MODELO — Regressão Linear (valores já em REAIS)</t>
  </si>
  <si>
    <t>COMPONENTES FIXOS</t>
  </si>
  <si>
    <t>Coeficiente</t>
  </si>
  <si>
    <t>Como entra na conta</t>
  </si>
  <si>
    <t>Intercepto (ponto de partida)</t>
  </si>
  <si>
    <t>somado sempre</t>
  </si>
  <si>
    <t>Valor da 1ª compra (por R$ 1,00)</t>
  </si>
  <si>
    <t>multiplicado pelo valor da 1ª compra</t>
  </si>
  <si>
    <t>1ª compra recorrente (se Sim)</t>
  </si>
  <si>
    <t>somado apenas quando a 1ª compra é recorrente</t>
  </si>
  <si>
    <t>PRODUTO FONTE</t>
  </si>
  <si>
    <t>Coeficiente (R$)</t>
  </si>
  <si>
    <t>Observação</t>
  </si>
  <si>
    <t>Vitalício</t>
  </si>
  <si>
    <t>Ciência de Dados</t>
  </si>
  <si>
    <t>Comercial</t>
  </si>
  <si>
    <t>Full Stack Javascript</t>
  </si>
  <si>
    <t>Análise de Dados</t>
  </si>
  <si>
    <t>categoria de referência</t>
  </si>
  <si>
    <t>Python</t>
  </si>
  <si>
    <t>Outros</t>
  </si>
  <si>
    <t>Excel</t>
  </si>
  <si>
    <t>Comunidade</t>
  </si>
  <si>
    <t>FONTE CAMPANHA</t>
  </si>
  <si>
    <t>Checkout</t>
  </si>
  <si>
    <t>Webinar</t>
  </si>
  <si>
    <t>Lista Espera</t>
  </si>
  <si>
    <t>Tráfego Direto</t>
  </si>
  <si>
    <t>SEXO</t>
  </si>
  <si>
    <t>Feminino</t>
  </si>
  <si>
    <t>FORMAÇÃO</t>
  </si>
  <si>
    <t>Fundamental</t>
  </si>
  <si>
    <t>Superior+</t>
  </si>
  <si>
    <t>Superior Incompleto</t>
  </si>
  <si>
    <t>Médio</t>
  </si>
  <si>
    <t>Não Informado</t>
  </si>
  <si>
    <t>MÊS DA COMPRA</t>
  </si>
  <si>
    <t>Janeiro</t>
  </si>
  <si>
    <t>Fevereiro</t>
  </si>
  <si>
    <t>Março</t>
  </si>
  <si>
    <t>Abril</t>
  </si>
  <si>
    <t>Maio</t>
  </si>
  <si>
    <t>Junho</t>
  </si>
  <si>
    <t>Julho</t>
  </si>
  <si>
    <t>Setembro</t>
  </si>
  <si>
    <t>Outubro</t>
  </si>
  <si>
    <t>Novembro</t>
  </si>
  <si>
    <t>Dezembro</t>
  </si>
  <si>
    <t>DIA DA SEMANA</t>
  </si>
  <si>
    <t>Segunda</t>
  </si>
  <si>
    <t>Quarta</t>
  </si>
  <si>
    <t>Quinta</t>
  </si>
  <si>
    <t>Sexta</t>
  </si>
  <si>
    <t>Sábado</t>
  </si>
  <si>
    <t>Domingo</t>
  </si>
  <si>
    <t>SOBRE O MODELO</t>
  </si>
  <si>
    <t>Desempenho no conjunto de teste (7.751 clientes não usados no treino)</t>
  </si>
  <si>
    <t>R² (variância explicada)</t>
  </si>
  <si>
    <t>o modelo explica 84,8% da variação do LTV</t>
  </si>
  <si>
    <t>RMSE</t>
  </si>
  <si>
    <t>erro típico, penalizando desvios grandes</t>
  </si>
  <si>
    <t>MAE (erro médio absoluto)</t>
  </si>
  <si>
    <t>em média, a previsão erra este valor</t>
  </si>
  <si>
    <t>LTV médio da base</t>
  </si>
  <si>
    <t>referência de escala</t>
  </si>
  <si>
    <t>MAE em % do LTV médio</t>
  </si>
  <si>
    <t>erro relativo</t>
  </si>
  <si>
    <t>Como a previsão é calculada</t>
  </si>
  <si>
    <t>LTV previsto = intercepto + (coef. do valor × valor da 1ª compra) + coef. de recorrência</t>
  </si>
  <si>
    <t xml:space="preserve">               + coef. do produto + coef. da campanha + coef. do sexo</t>
  </si>
  <si>
    <t xml:space="preserve">               + coef. da formação + coef. do mês + coef. do dia da semana</t>
  </si>
  <si>
    <t>Cada coeficiente categórico é lido em relação a uma categoria de referência, cujo valor é zero.</t>
  </si>
  <si>
    <t>Trocar de categoria soma (ou subtrai) a diferença em reais.</t>
  </si>
  <si>
    <t>Reversão do StandardScaler</t>
  </si>
  <si>
    <t>O modelo foi treinado com o valor da 1ª compra padronizado. Os coeficientes desta planilha já foram convertidos de volta para reais:</t>
  </si>
  <si>
    <t>Média usada na padronização (μ)</t>
  </si>
  <si>
    <t>Desvio-padrão usado (σ)</t>
  </si>
  <si>
    <t>Coeficiente padronizado do valor</t>
  </si>
  <si>
    <t>→ Coeficiente em reais = coef ÷ σ</t>
  </si>
  <si>
    <t>Intercepto padronizado</t>
  </si>
  <si>
    <t>→ Intercepto em reais = intercepto − coef × μ ÷ σ</t>
  </si>
  <si>
    <t>Limites de uso</t>
  </si>
  <si>
    <t>•  A previsão é uma média esperada para o perfil, não uma garantia sobre o cliente individual.</t>
  </si>
  <si>
    <t>•  Base histórica: 38.753 clientes, compras entre 01/01/2023 e 31/05/2024.</t>
  </si>
  <si>
    <t>•  Correlação não é causalidade: trocar a campanha de um cliente não muda o LTV dele automaticamente.</t>
  </si>
  <si>
    <t>•  Recalibrar o modelo periodicamente, à medida que novos dados de LTV amadurecem.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</si>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</sst>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&quot;R$ &quot;#,##0.00000000"/>
    <numFmt numFmtId="166" formatCode="0.0000"/>
    <numFmt numFmtId="167" formatCode="0.0%"/>
    <numFmt numFmtId="168" formatCode="0.00000000"/>
  </numFmts>
  <fonts count="12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9"/>
      <color rgb="FF52514E"/>
      <name val="Arial"/>
      <charset val="1"/>
    </font>
    <font>
      <b/>
      <sz val="11"/>
      <color rgb="FF0B0B0B"/>
      <name val="Arial"/>
      <charset val="1"/>
    </font>
    <font>
      <sz val="10"/>
      <color rgb="FF0B0B0B"/>
      <name val="Arial"/>
      <charset val="1"/>
    </font>
    <font>
      <b/>
      <sz val="10"/>
      <color rgb="FF2A78D6"/>
      <name val="Arial"/>
      <charset val="1"/>
    </font>
    <font>
      <b/>
      <sz val="10"/>
      <color rgb="FF0B0B0B"/>
      <name val="Arial"/>
      <charset val="1"/>
    </font>
    <font>
      <i/>
      <sz val="9"/>
      <color rgb="FF52514E"/>
      <name val="Arial"/>
      <charset val="1"/>
    </font>
    <font>
      <b/>
      <sz val="12"/>
      <color rgb="FF0B0B0B"/>
      <name val="Arial"/>
      <charset val="1"/>
    </font>
    <font>
      <b/>
      <sz val="14"/>
      <color rgb="FF0B0B0B"/>
      <name val="Arial"/>
      <charset val="1"/>
    </font>
    <font>
      <b/>
      <sz val="13"/>
      <color rgb="FFFFFFFF"/>
      <name val="Arial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C5CAB"/>
        <bgColor rgb="FF2A78D6"/>
      </patternFill>
    </fill>
    <fill>
      <patternFill patternType="solid">
        <fgColor rgb="FFCDE2FB"/>
        <bgColor rgb="FFE2EFDA"/>
      </patternFill>
    </fill>
    <fill>
      <patternFill patternType="solid">
        <fgColor rgb="FFFFF2CC"/>
        <bgColor rgb="FFF5F5F3"/>
      </patternFill>
    </fill>
    <fill>
      <patternFill patternType="solid">
        <fgColor rgb="FFE2EFDA"/>
        <bgColor rgb="FFF5F5F3"/>
      </patternFill>
    </fill>
    <fill>
      <patternFill patternType="solid">
        <fgColor rgb="FFF5F5F3"/>
        <bgColor rgb="FFFFFFFF"/>
      </patternFill>
    </fill>
  </fills>
  <borders count="2">
    <border>
      <left/>
      <right/>
      <top/>
      <bottom/>
      <diagonal/>
    </border>
    <border>
      <left style="thin">
        <color rgb="FFD0D0CC"/>
      </left>
      <right style="thin">
        <color rgb="FFD0D0CC"/>
      </right>
      <top style="thin">
        <color rgb="FFD0D0CC"/>
      </top>
      <bottom style="thin">
        <color rgb="FFD0D0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Border="1"/>
    <xf numFmtId="0" fontId="6" fillId="3" borderId="0" xfId="0" applyFont="1" applyFill="1" applyBorder="1"/>
    <xf numFmtId="0" fontId="10" fillId="2" borderId="0" xfId="0" applyFont="1" applyFill="1" applyBorder="1"/>
    <xf numFmtId="0" fontId="7" fillId="0" borderId="0" xfId="0" applyFont="1" applyBorder="1"/>
    <xf numFmtId="0" fontId="3" fillId="3" borderId="0" xfId="0" applyFont="1" applyFill="1" applyBorder="1"/>
    <xf numFmtId="0" fontId="2" fillId="0" borderId="0" xfId="0" applyFont="1" applyBorder="1"/>
    <xf numFmtId="0" fontId="1" fillId="2" borderId="0" xfId="0" applyFont="1" applyFill="1" applyBorder="1"/>
    <xf numFmtId="0" fontId="4" fillId="0" borderId="0" xfId="0" applyFont="1"/>
    <xf numFmtId="164" fontId="5" fillId="4" borderId="1" xfId="0" applyNumberFormat="1" applyFont="1" applyFill="1" applyBorder="1" applyAlignment="1">
      <alignment horizontal="center"/>
    </xf>
    <xf numFmtId="0" fontId="6" fillId="3" borderId="1" xfId="0" applyFont="1" applyFill="1" applyBorder="1"/>
    <xf numFmtId="0" fontId="5" fillId="4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2" fillId="0" borderId="1" xfId="0" applyFont="1" applyBorder="1"/>
    <xf numFmtId="0" fontId="3" fillId="5" borderId="1" xfId="0" applyFont="1" applyFill="1" applyBorder="1"/>
    <xf numFmtId="164" fontId="8" fillId="5" borderId="1" xfId="0" applyNumberFormat="1" applyFont="1" applyFill="1" applyBorder="1"/>
    <xf numFmtId="0" fontId="2" fillId="5" borderId="1" xfId="0" applyFont="1" applyFill="1" applyBorder="1"/>
    <xf numFmtId="0" fontId="3" fillId="0" borderId="0" xfId="0" applyFont="1"/>
    <xf numFmtId="164" fontId="9" fillId="5" borderId="1" xfId="0" applyNumberFormat="1" applyFont="1" applyFill="1" applyBorder="1"/>
    <xf numFmtId="9" fontId="5" fillId="4" borderId="1" xfId="0" applyNumberFormat="1" applyFont="1" applyFill="1" applyBorder="1" applyAlignment="1">
      <alignment horizontal="center"/>
    </xf>
    <xf numFmtId="0" fontId="6" fillId="3" borderId="0" xfId="0" applyFont="1" applyFill="1"/>
    <xf numFmtId="164" fontId="6" fillId="0" borderId="1" xfId="0" applyNumberFormat="1" applyFont="1" applyBorder="1"/>
    <xf numFmtId="165" fontId="6" fillId="0" borderId="1" xfId="0" applyNumberFormat="1" applyFont="1" applyBorder="1"/>
    <xf numFmtId="0" fontId="0" fillId="0" borderId="1" xfId="0" applyBorder="1"/>
    <xf numFmtId="0" fontId="4" fillId="6" borderId="1" xfId="0" applyFont="1" applyFill="1" applyBorder="1"/>
    <xf numFmtId="164" fontId="4" fillId="6" borderId="1" xfId="0" applyNumberFormat="1" applyFont="1" applyFill="1" applyBorder="1"/>
    <xf numFmtId="0" fontId="0" fillId="6" borderId="1" xfId="0" applyFill="1" applyBorder="1"/>
    <xf numFmtId="0" fontId="7" fillId="6" borderId="1" xfId="0" applyFont="1" applyFill="1" applyBorder="1"/>
    <xf numFmtId="0" fontId="7" fillId="0" borderId="1" xfId="0" applyFont="1" applyBorder="1"/>
    <xf numFmtId="166" fontId="6" fillId="0" borderId="1" xfId="0" applyNumberFormat="1" applyFont="1" applyBorder="1"/>
    <xf numFmtId="167" fontId="6" fillId="0" borderId="1" xfId="0" applyNumberFormat="1" applyFont="1" applyBorder="1"/>
    <xf numFmtId="168" fontId="6" fillId="0" borderId="1" xfId="0" applyNumberFormat="1" applyFont="1" applyBorder="1"/>
  </cellXfs>
  <cellStyles count="1">
    <cellStyle name="Normal" xfId="0" builtinId="0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CC"/>
      <rgbColor rgb="FF808080"/>
      <rgbColor rgb="FF9999FF"/>
      <rgbColor rgb="FF993366"/>
      <rgbColor rgb="FFFFF2CC"/>
      <rgbColor rgb="FFF5F5F3"/>
      <rgbColor rgb="FF660066"/>
      <rgbColor rgb="FFFF8080"/>
      <rgbColor rgb="FF1C5CAB"/>
      <rgbColor rgb="FFCDE2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5251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zoomScaleNormal="100" workbookViewId="0">
      <selection activeCell="I14" sqref="I14"/>
    </sheetView>
  </sheetViews>
  <sheetFormatPr defaultColWidth="8.6640625" defaultRowHeight="14.4" x14ac:dyDescent="0.3"/>
  <cols>
    <col min="1" max="1" width="34" customWidth="1"/>
    <col min="2" max="2" width="18" customWidth="1"/>
    <col min="3" max="3" width="16" customWidth="1"/>
    <col min="4" max="4" width="28" customWidth="1"/>
    <col min="5" max="5" width="15" customWidth="1"/>
    <col min="6" max="6" width="42" customWidth="1"/>
  </cols>
  <sheetData>
    <row r="1" spans="1:6" ht="30" customHeight="1" x14ac:dyDescent="0.35">
      <c r="A1" s="7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6"/>
      <c r="C2" s="6"/>
      <c r="D2" s="6"/>
      <c r="E2" s="6"/>
      <c r="F2" s="6"/>
    </row>
    <row r="4" spans="1:6" x14ac:dyDescent="0.3">
      <c r="A4" s="5" t="s">
        <v>2</v>
      </c>
      <c r="B4" s="5"/>
      <c r="D4" s="5" t="s">
        <v>3</v>
      </c>
      <c r="E4" s="5"/>
      <c r="F4" s="5"/>
    </row>
    <row r="5" spans="1:6" x14ac:dyDescent="0.3">
      <c r="A5" s="8" t="s">
        <v>4</v>
      </c>
      <c r="B5" s="9">
        <v>497</v>
      </c>
      <c r="D5" s="10" t="s">
        <v>5</v>
      </c>
      <c r="E5" s="10" t="s">
        <v>6</v>
      </c>
      <c r="F5" s="10" t="s">
        <v>7</v>
      </c>
    </row>
    <row r="6" spans="1:6" x14ac:dyDescent="0.3">
      <c r="A6" s="8" t="s">
        <v>8</v>
      </c>
      <c r="B6" s="11" t="s">
        <v>132</v>
      </c>
      <c r="D6" s="12" t="s">
        <v>9</v>
      </c>
      <c r="E6" s="13">
        <f>Coeficientes!$B$4</f>
        <v>1517.50627010582</v>
      </c>
      <c r="F6" s="14" t="s">
        <v>10</v>
      </c>
    </row>
    <row r="7" spans="1:6" x14ac:dyDescent="0.3">
      <c r="A7" s="8" t="s">
        <v>11</v>
      </c>
      <c r="B7" s="11" t="s">
        <v>65</v>
      </c>
      <c r="D7" s="12" t="s">
        <v>13</v>
      </c>
      <c r="E7" s="13">
        <f>Coeficientes!$B$5*$B$5</f>
        <v>756.26806275868739</v>
      </c>
      <c r="F7" s="14" t="s">
        <v>14</v>
      </c>
    </row>
    <row r="8" spans="1:6" x14ac:dyDescent="0.3">
      <c r="A8" s="8" t="s">
        <v>15</v>
      </c>
      <c r="B8" s="11" t="s">
        <v>73</v>
      </c>
      <c r="D8" s="12" t="s">
        <v>17</v>
      </c>
      <c r="E8" s="13">
        <f>IF($B$6="Sim",Coeficientes!$B$6,0)</f>
        <v>-368.72971043252801</v>
      </c>
      <c r="F8" s="14" t="s">
        <v>18</v>
      </c>
    </row>
    <row r="9" spans="1:6" x14ac:dyDescent="0.3">
      <c r="A9" s="8" t="s">
        <v>19</v>
      </c>
      <c r="B9" s="11" t="s">
        <v>20</v>
      </c>
      <c r="D9" s="12" t="s">
        <v>11</v>
      </c>
      <c r="E9" s="13">
        <f>INDEX(Coeficientes!$B$9:$B$18,MATCH($B$7,Coeficientes!$A$9:$A$18,0))</f>
        <v>-1.13001537717402</v>
      </c>
      <c r="F9" s="14" t="s">
        <v>21</v>
      </c>
    </row>
    <row r="10" spans="1:6" x14ac:dyDescent="0.3">
      <c r="A10" s="8" t="s">
        <v>22</v>
      </c>
      <c r="B10" s="11" t="s">
        <v>23</v>
      </c>
      <c r="D10" s="12" t="s">
        <v>15</v>
      </c>
      <c r="E10" s="13">
        <f>INDEX(Coeficientes!$B$21:$B$27,MATCH($B$8,Coeficientes!$A$21:$A$27,0))</f>
        <v>-528.61457444243695</v>
      </c>
      <c r="F10" s="14" t="s">
        <v>24</v>
      </c>
    </row>
    <row r="11" spans="1:6" x14ac:dyDescent="0.3">
      <c r="A11" s="8" t="s">
        <v>25</v>
      </c>
      <c r="B11" s="11" t="s">
        <v>83</v>
      </c>
      <c r="D11" s="12" t="s">
        <v>19</v>
      </c>
      <c r="E11" s="13">
        <f>INDEX(Coeficientes!$B$30:$B$32,MATCH($B$9,Coeficientes!$A$30:$A$32,0))</f>
        <v>9.71415381458403</v>
      </c>
      <c r="F11" s="14" t="s">
        <v>27</v>
      </c>
    </row>
    <row r="12" spans="1:6" x14ac:dyDescent="0.3">
      <c r="A12" s="8" t="s">
        <v>28</v>
      </c>
      <c r="B12" s="11" t="s">
        <v>29</v>
      </c>
      <c r="D12" s="12" t="s">
        <v>22</v>
      </c>
      <c r="E12" s="13">
        <f>INDEX(Coeficientes!$B$35:$B$40,MATCH($B$10,Coeficientes!$A$35:$A$40,0))</f>
        <v>-17.3821603468006</v>
      </c>
      <c r="F12" s="14" t="s">
        <v>30</v>
      </c>
    </row>
    <row r="13" spans="1:6" x14ac:dyDescent="0.3">
      <c r="D13" s="12" t="s">
        <v>25</v>
      </c>
      <c r="E13" s="13">
        <f>INDEX(Coeficientes!$B$43:$B$54,MATCH($B$11,Coeficientes!$A$43:$A$54,0))</f>
        <v>-11.6154604201243</v>
      </c>
      <c r="F13" s="14" t="s">
        <v>31</v>
      </c>
    </row>
    <row r="14" spans="1:6" x14ac:dyDescent="0.3">
      <c r="A14" s="4" t="s">
        <v>32</v>
      </c>
      <c r="B14" s="4"/>
      <c r="D14" s="12" t="s">
        <v>28</v>
      </c>
      <c r="E14" s="13">
        <f>INDEX(Coeficientes!$B$57:$B$63,MATCH($B$12,Coeficientes!$A$57:$A$63,0))</f>
        <v>7.1457380187688599</v>
      </c>
      <c r="F14" s="14" t="s">
        <v>33</v>
      </c>
    </row>
    <row r="15" spans="1:6" ht="15.6" x14ac:dyDescent="0.3">
      <c r="D15" s="15" t="s">
        <v>34</v>
      </c>
      <c r="E15" s="16">
        <f>SUM(E6:E14)</f>
        <v>1363.1623036787964</v>
      </c>
      <c r="F15" s="17" t="s">
        <v>35</v>
      </c>
    </row>
    <row r="17" spans="1:6" x14ac:dyDescent="0.3">
      <c r="A17" s="5" t="s">
        <v>36</v>
      </c>
      <c r="B17" s="5"/>
      <c r="C17" s="5"/>
      <c r="D17" s="5"/>
      <c r="E17" s="5"/>
      <c r="F17" s="5"/>
    </row>
    <row r="18" spans="1:6" ht="17.399999999999999" x14ac:dyDescent="0.3">
      <c r="A18" s="18" t="s">
        <v>37</v>
      </c>
      <c r="B18" s="19">
        <f>E15</f>
        <v>1363.1623036787964</v>
      </c>
    </row>
    <row r="19" spans="1:6" x14ac:dyDescent="0.3">
      <c r="A19" s="8" t="s">
        <v>38</v>
      </c>
      <c r="B19" s="13">
        <f>$B$18-Modelo!$B$7</f>
        <v>959.13613410871949</v>
      </c>
      <c r="C19" s="13">
        <f>$B$18+Modelo!$B$7</f>
        <v>1767.1884732488734</v>
      </c>
      <c r="D19" s="6" t="s">
        <v>39</v>
      </c>
      <c r="E19" s="6"/>
      <c r="F19" s="6"/>
    </row>
    <row r="21" spans="1:6" x14ac:dyDescent="0.3">
      <c r="A21" s="8" t="s">
        <v>40</v>
      </c>
      <c r="B21" s="20">
        <v>0.3</v>
      </c>
      <c r="C21" s="6" t="s">
        <v>41</v>
      </c>
      <c r="D21" s="6"/>
      <c r="E21" s="6"/>
      <c r="F21" s="6"/>
    </row>
    <row r="22" spans="1:6" ht="17.399999999999999" x14ac:dyDescent="0.3">
      <c r="A22" s="18" t="s">
        <v>42</v>
      </c>
      <c r="B22" s="19">
        <f>$B$18*$B$21</f>
        <v>408.94869110363891</v>
      </c>
      <c r="C22" s="6" t="s">
        <v>43</v>
      </c>
      <c r="D22" s="6"/>
      <c r="E22" s="6"/>
      <c r="F22" s="6"/>
    </row>
    <row r="23" spans="1:6" x14ac:dyDescent="0.3">
      <c r="A23" s="8" t="s">
        <v>44</v>
      </c>
      <c r="B23" s="13">
        <f>$B$19*$B$21</f>
        <v>287.74084023261582</v>
      </c>
      <c r="C23" s="6" t="s">
        <v>45</v>
      </c>
      <c r="D23" s="6"/>
      <c r="E23" s="6"/>
      <c r="F23" s="6"/>
    </row>
  </sheetData>
  <mergeCells count="10">
    <mergeCell ref="A17:F17"/>
    <mergeCell ref="D19:F19"/>
    <mergeCell ref="C21:F21"/>
    <mergeCell ref="C22:F22"/>
    <mergeCell ref="C23:F23"/>
    <mergeCell ref="A1:F1"/>
    <mergeCell ref="A2:F2"/>
    <mergeCell ref="A4:B4"/>
    <mergeCell ref="D4:F4"/>
    <mergeCell ref="A14:B14"/>
  </mergeCells>
  <conditionalFormatting sqref="E6">
    <cfRule type="expression" dxfId="7" priority="6">
      <formula>"$E$6&lt;0"</formula>
    </cfRule>
  </conditionalFormatting>
  <conditionalFormatting sqref="E7">
    <cfRule type="expression" dxfId="6" priority="4">
      <formula>$E$7&lt;0</formula>
    </cfRule>
  </conditionalFormatting>
  <conditionalFormatting sqref="E9">
    <cfRule type="expression" dxfId="5" priority="3">
      <formula>$E$9&lt;0</formula>
    </cfRule>
  </conditionalFormatting>
  <conditionalFormatting sqref="E10:E15">
    <cfRule type="cellIs" dxfId="4" priority="2" operator="lessThan">
      <formula>0</formula>
    </cfRule>
  </conditionalFormatting>
  <conditionalFormatting sqref="E8">
    <cfRule type="cellIs" dxfId="0" priority="1" operator="lessThan">
      <formula>0</formula>
    </cfRule>
  </conditionalFormatting>
  <dataValidations count="1">
    <dataValidation type="list" sqref="B6" xr:uid="{00000000-0002-0000-0000-000000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1000000}">
          <x14:formula1>
            <xm:f>Coeficientes!$A$9:$A$18</xm:f>
          </x14:formula1>
          <x14:formula2>
            <xm:f>0</xm:f>
          </x14:formula2>
          <xm:sqref>B7</xm:sqref>
        </x14:dataValidation>
        <x14:dataValidation type="list" xr:uid="{00000000-0002-0000-0000-000002000000}">
          <x14:formula1>
            <xm:f>Coeficientes!$A$21:$A$27</xm:f>
          </x14:formula1>
          <x14:formula2>
            <xm:f>0</xm:f>
          </x14:formula2>
          <xm:sqref>B8</xm:sqref>
        </x14:dataValidation>
        <x14:dataValidation type="list" xr:uid="{00000000-0002-0000-0000-000003000000}">
          <x14:formula1>
            <xm:f>Coeficientes!$A$30:$A$32</xm:f>
          </x14:formula1>
          <x14:formula2>
            <xm:f>0</xm:f>
          </x14:formula2>
          <xm:sqref>B9</xm:sqref>
        </x14:dataValidation>
        <x14:dataValidation type="list" xr:uid="{00000000-0002-0000-0000-000004000000}">
          <x14:formula1>
            <xm:f>Coeficientes!$A$35:$A$40</xm:f>
          </x14:formula1>
          <x14:formula2>
            <xm:f>0</xm:f>
          </x14:formula2>
          <xm:sqref>B10</xm:sqref>
        </x14:dataValidation>
        <x14:dataValidation type="list" xr:uid="{00000000-0002-0000-0000-000005000000}">
          <x14:formula1>
            <xm:f>Coeficientes!$A$43:$A$54</xm:f>
          </x14:formula1>
          <x14:formula2>
            <xm:f>0</xm:f>
          </x14:formula2>
          <xm:sqref>B11</xm:sqref>
        </x14:dataValidation>
        <x14:dataValidation type="list" xr:uid="{00000000-0002-0000-0000-000006000000}">
          <x14:formula1>
            <xm:f>Coeficientes!$A$57:$A$63</xm:f>
          </x14:formula1>
          <x14:formula2>
            <xm:f>0</xm:f>
          </x14:formula2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3"/>
  <sheetViews>
    <sheetView showGridLines="0" topLeftCell="A25" zoomScaleNormal="100" workbookViewId="0">
      <selection activeCell="B5" sqref="B5"/>
    </sheetView>
  </sheetViews>
  <sheetFormatPr defaultColWidth="8.6640625" defaultRowHeight="14.4" x14ac:dyDescent="0.3"/>
  <cols>
    <col min="1" max="1" width="30" customWidth="1"/>
    <col min="2" max="2" width="18" customWidth="1"/>
    <col min="3" max="3" width="44" customWidth="1"/>
  </cols>
  <sheetData>
    <row r="1" spans="1:3" ht="24" customHeight="1" x14ac:dyDescent="0.3">
      <c r="A1" s="3" t="s">
        <v>46</v>
      </c>
      <c r="B1" s="3"/>
      <c r="C1" s="3"/>
    </row>
    <row r="3" spans="1:3" x14ac:dyDescent="0.3">
      <c r="A3" s="21" t="s">
        <v>47</v>
      </c>
      <c r="B3" s="21" t="s">
        <v>48</v>
      </c>
      <c r="C3" s="21" t="s">
        <v>49</v>
      </c>
    </row>
    <row r="4" spans="1:3" x14ac:dyDescent="0.3">
      <c r="A4" s="12" t="s">
        <v>50</v>
      </c>
      <c r="B4" s="22">
        <v>1517.50627010582</v>
      </c>
      <c r="C4" s="14" t="s">
        <v>51</v>
      </c>
    </row>
    <row r="5" spans="1:3" x14ac:dyDescent="0.3">
      <c r="A5" s="12" t="s">
        <v>52</v>
      </c>
      <c r="B5" s="23">
        <v>1.52166612225088</v>
      </c>
      <c r="C5" s="14" t="s">
        <v>53</v>
      </c>
    </row>
    <row r="6" spans="1:3" x14ac:dyDescent="0.3">
      <c r="A6" s="12" t="s">
        <v>54</v>
      </c>
      <c r="B6" s="22">
        <v>-368.72971043252801</v>
      </c>
      <c r="C6" s="14" t="s">
        <v>55</v>
      </c>
    </row>
    <row r="8" spans="1:3" x14ac:dyDescent="0.3">
      <c r="A8" s="21" t="s">
        <v>56</v>
      </c>
      <c r="B8" s="21" t="s">
        <v>57</v>
      </c>
      <c r="C8" s="21" t="s">
        <v>58</v>
      </c>
    </row>
    <row r="9" spans="1:3" x14ac:dyDescent="0.3">
      <c r="A9" s="12" t="s">
        <v>59</v>
      </c>
      <c r="B9" s="13">
        <v>509.93546866954199</v>
      </c>
      <c r="C9" s="24"/>
    </row>
    <row r="10" spans="1:3" x14ac:dyDescent="0.3">
      <c r="A10" s="25" t="s">
        <v>60</v>
      </c>
      <c r="B10" s="26">
        <v>247.17225179639999</v>
      </c>
      <c r="C10" s="27"/>
    </row>
    <row r="11" spans="1:3" x14ac:dyDescent="0.3">
      <c r="A11" s="12" t="s">
        <v>12</v>
      </c>
      <c r="B11" s="13">
        <v>191.93064998253001</v>
      </c>
      <c r="C11" s="24"/>
    </row>
    <row r="12" spans="1:3" x14ac:dyDescent="0.3">
      <c r="A12" s="25" t="s">
        <v>61</v>
      </c>
      <c r="B12" s="26">
        <v>155.911997236703</v>
      </c>
      <c r="C12" s="27"/>
    </row>
    <row r="13" spans="1:3" x14ac:dyDescent="0.3">
      <c r="A13" s="12" t="s">
        <v>62</v>
      </c>
      <c r="B13" s="13">
        <v>48.268379606793197</v>
      </c>
      <c r="C13" s="24"/>
    </row>
    <row r="14" spans="1:3" x14ac:dyDescent="0.3">
      <c r="A14" s="25" t="s">
        <v>63</v>
      </c>
      <c r="B14" s="26">
        <v>0</v>
      </c>
      <c r="C14" s="28" t="s">
        <v>64</v>
      </c>
    </row>
    <row r="15" spans="1:3" x14ac:dyDescent="0.3">
      <c r="A15" s="12" t="s">
        <v>65</v>
      </c>
      <c r="B15" s="13">
        <v>-1.13001537717402</v>
      </c>
      <c r="C15" s="24"/>
    </row>
    <row r="16" spans="1:3" x14ac:dyDescent="0.3">
      <c r="A16" s="25" t="s">
        <v>66</v>
      </c>
      <c r="B16" s="26">
        <v>-37.428677703226398</v>
      </c>
      <c r="C16" s="27"/>
    </row>
    <row r="17" spans="1:3" x14ac:dyDescent="0.3">
      <c r="A17" s="12" t="s">
        <v>67</v>
      </c>
      <c r="B17" s="13">
        <v>-97.457327636859105</v>
      </c>
      <c r="C17" s="24"/>
    </row>
    <row r="18" spans="1:3" x14ac:dyDescent="0.3">
      <c r="A18" s="25" t="s">
        <v>68</v>
      </c>
      <c r="B18" s="26">
        <v>-150.22732994696699</v>
      </c>
      <c r="C18" s="27"/>
    </row>
    <row r="20" spans="1:3" x14ac:dyDescent="0.3">
      <c r="A20" s="21" t="s">
        <v>69</v>
      </c>
      <c r="B20" s="21" t="s">
        <v>57</v>
      </c>
      <c r="C20" s="21" t="s">
        <v>58</v>
      </c>
    </row>
    <row r="21" spans="1:3" x14ac:dyDescent="0.3">
      <c r="A21" s="12" t="s">
        <v>70</v>
      </c>
      <c r="B21" s="13">
        <v>0</v>
      </c>
      <c r="C21" s="29" t="s">
        <v>64</v>
      </c>
    </row>
    <row r="22" spans="1:3" x14ac:dyDescent="0.3">
      <c r="A22" s="25" t="s">
        <v>61</v>
      </c>
      <c r="B22" s="26">
        <v>-138.72994382498501</v>
      </c>
      <c r="C22" s="27"/>
    </row>
    <row r="23" spans="1:3" x14ac:dyDescent="0.3">
      <c r="A23" s="12" t="s">
        <v>71</v>
      </c>
      <c r="B23" s="13">
        <v>-169.99007865326399</v>
      </c>
      <c r="C23" s="24"/>
    </row>
    <row r="24" spans="1:3" x14ac:dyDescent="0.3">
      <c r="A24" s="25" t="s">
        <v>16</v>
      </c>
      <c r="B24" s="26">
        <v>-211.393349812613</v>
      </c>
      <c r="C24" s="27"/>
    </row>
    <row r="25" spans="1:3" x14ac:dyDescent="0.3">
      <c r="A25" s="12" t="s">
        <v>72</v>
      </c>
      <c r="B25" s="13">
        <v>-412.80726549132402</v>
      </c>
      <c r="C25" s="24"/>
    </row>
    <row r="26" spans="1:3" x14ac:dyDescent="0.3">
      <c r="A26" s="25" t="s">
        <v>73</v>
      </c>
      <c r="B26" s="26">
        <v>-528.61457444243695</v>
      </c>
      <c r="C26" s="27"/>
    </row>
    <row r="27" spans="1:3" x14ac:dyDescent="0.3">
      <c r="A27" s="12" t="s">
        <v>66</v>
      </c>
      <c r="B27" s="13">
        <v>-614.46260606269698</v>
      </c>
      <c r="C27" s="24"/>
    </row>
    <row r="29" spans="1:3" x14ac:dyDescent="0.3">
      <c r="A29" s="21" t="s">
        <v>74</v>
      </c>
      <c r="B29" s="21" t="s">
        <v>57</v>
      </c>
      <c r="C29" s="21" t="s">
        <v>58</v>
      </c>
    </row>
    <row r="30" spans="1:3" x14ac:dyDescent="0.3">
      <c r="A30" s="12" t="s">
        <v>20</v>
      </c>
      <c r="B30" s="13">
        <v>9.71415381458403</v>
      </c>
      <c r="C30" s="24"/>
    </row>
    <row r="31" spans="1:3" x14ac:dyDescent="0.3">
      <c r="A31" s="25" t="s">
        <v>66</v>
      </c>
      <c r="B31" s="26">
        <v>7.7472645551656898</v>
      </c>
      <c r="C31" s="27"/>
    </row>
    <row r="32" spans="1:3" x14ac:dyDescent="0.3">
      <c r="A32" s="12" t="s">
        <v>75</v>
      </c>
      <c r="B32" s="13">
        <v>0</v>
      </c>
      <c r="C32" s="29" t="s">
        <v>64</v>
      </c>
    </row>
    <row r="34" spans="1:3" x14ac:dyDescent="0.3">
      <c r="A34" s="21" t="s">
        <v>76</v>
      </c>
      <c r="B34" s="21" t="s">
        <v>57</v>
      </c>
      <c r="C34" s="21" t="s">
        <v>58</v>
      </c>
    </row>
    <row r="35" spans="1:3" x14ac:dyDescent="0.3">
      <c r="A35" s="12" t="s">
        <v>77</v>
      </c>
      <c r="B35" s="13">
        <v>0</v>
      </c>
      <c r="C35" s="29" t="s">
        <v>64</v>
      </c>
    </row>
    <row r="36" spans="1:3" x14ac:dyDescent="0.3">
      <c r="A36" s="25" t="s">
        <v>23</v>
      </c>
      <c r="B36" s="26">
        <v>-17.3821603468006</v>
      </c>
      <c r="C36" s="27"/>
    </row>
    <row r="37" spans="1:3" x14ac:dyDescent="0.3">
      <c r="A37" s="12" t="s">
        <v>78</v>
      </c>
      <c r="B37" s="13">
        <v>-23.849475501431201</v>
      </c>
      <c r="C37" s="24"/>
    </row>
    <row r="38" spans="1:3" x14ac:dyDescent="0.3">
      <c r="A38" s="25" t="s">
        <v>79</v>
      </c>
      <c r="B38" s="26">
        <v>-24.013010439290699</v>
      </c>
      <c r="C38" s="27"/>
    </row>
    <row r="39" spans="1:3" x14ac:dyDescent="0.3">
      <c r="A39" s="12" t="s">
        <v>80</v>
      </c>
      <c r="B39" s="13">
        <v>-26.868781798560502</v>
      </c>
      <c r="C39" s="24"/>
    </row>
    <row r="40" spans="1:3" x14ac:dyDescent="0.3">
      <c r="A40" s="25" t="s">
        <v>81</v>
      </c>
      <c r="B40" s="26">
        <v>-27.9238040997427</v>
      </c>
      <c r="C40" s="27"/>
    </row>
    <row r="42" spans="1:3" x14ac:dyDescent="0.3">
      <c r="A42" s="21" t="s">
        <v>82</v>
      </c>
      <c r="B42" s="21" t="s">
        <v>57</v>
      </c>
      <c r="C42" s="21" t="s">
        <v>58</v>
      </c>
    </row>
    <row r="43" spans="1:3" x14ac:dyDescent="0.3">
      <c r="A43" s="12" t="s">
        <v>83</v>
      </c>
      <c r="B43" s="13">
        <v>-11.6154604201243</v>
      </c>
      <c r="C43" s="24"/>
    </row>
    <row r="44" spans="1:3" x14ac:dyDescent="0.3">
      <c r="A44" s="25" t="s">
        <v>84</v>
      </c>
      <c r="B44" s="26">
        <v>-4.7918413320024902</v>
      </c>
      <c r="C44" s="27"/>
    </row>
    <row r="45" spans="1:3" x14ac:dyDescent="0.3">
      <c r="A45" s="12" t="s">
        <v>85</v>
      </c>
      <c r="B45" s="13">
        <v>-3.6867498013793298</v>
      </c>
      <c r="C45" s="24"/>
    </row>
    <row r="46" spans="1:3" x14ac:dyDescent="0.3">
      <c r="A46" s="25" t="s">
        <v>86</v>
      </c>
      <c r="B46" s="26">
        <v>0</v>
      </c>
      <c r="C46" s="28" t="s">
        <v>64</v>
      </c>
    </row>
    <row r="47" spans="1:3" x14ac:dyDescent="0.3">
      <c r="A47" s="12" t="s">
        <v>87</v>
      </c>
      <c r="B47" s="13">
        <v>-37.340358936818802</v>
      </c>
      <c r="C47" s="24"/>
    </row>
    <row r="48" spans="1:3" x14ac:dyDescent="0.3">
      <c r="A48" s="25" t="s">
        <v>88</v>
      </c>
      <c r="B48" s="26">
        <v>-0.35132674814172399</v>
      </c>
      <c r="C48" s="27"/>
    </row>
    <row r="49" spans="1:3" x14ac:dyDescent="0.3">
      <c r="A49" s="12" t="s">
        <v>89</v>
      </c>
      <c r="B49" s="13">
        <v>-24.077625671814001</v>
      </c>
      <c r="C49" s="24"/>
    </row>
    <row r="50" spans="1:3" x14ac:dyDescent="0.3">
      <c r="A50" s="25" t="s">
        <v>26</v>
      </c>
      <c r="B50" s="26">
        <v>-40.529998511065898</v>
      </c>
      <c r="C50" s="27"/>
    </row>
    <row r="51" spans="1:3" x14ac:dyDescent="0.3">
      <c r="A51" s="12" t="s">
        <v>90</v>
      </c>
      <c r="B51" s="13">
        <v>12.1114388981066</v>
      </c>
      <c r="C51" s="24"/>
    </row>
    <row r="52" spans="1:3" x14ac:dyDescent="0.3">
      <c r="A52" s="25" t="s">
        <v>91</v>
      </c>
      <c r="B52" s="26">
        <v>0.91947937942999103</v>
      </c>
      <c r="C52" s="27"/>
    </row>
    <row r="53" spans="1:3" x14ac:dyDescent="0.3">
      <c r="A53" s="12" t="s">
        <v>92</v>
      </c>
      <c r="B53" s="13">
        <v>11.083395245927401</v>
      </c>
      <c r="C53" s="24"/>
    </row>
    <row r="54" spans="1:3" x14ac:dyDescent="0.3">
      <c r="A54" s="25" t="s">
        <v>93</v>
      </c>
      <c r="B54" s="26">
        <v>2.1088002729014002</v>
      </c>
      <c r="C54" s="27"/>
    </row>
    <row r="56" spans="1:3" x14ac:dyDescent="0.3">
      <c r="A56" s="21" t="s">
        <v>94</v>
      </c>
      <c r="B56" s="21" t="s">
        <v>57</v>
      </c>
      <c r="C56" s="21" t="s">
        <v>58</v>
      </c>
    </row>
    <row r="57" spans="1:3" x14ac:dyDescent="0.3">
      <c r="A57" s="12" t="s">
        <v>95</v>
      </c>
      <c r="B57" s="13">
        <v>-6.1477345960152503</v>
      </c>
      <c r="C57" s="24"/>
    </row>
    <row r="58" spans="1:3" x14ac:dyDescent="0.3">
      <c r="A58" s="25" t="s">
        <v>29</v>
      </c>
      <c r="B58" s="26">
        <v>7.1457380187688599</v>
      </c>
      <c r="C58" s="27"/>
    </row>
    <row r="59" spans="1:3" x14ac:dyDescent="0.3">
      <c r="A59" s="12" t="s">
        <v>96</v>
      </c>
      <c r="B59" s="13">
        <v>-8.1350788861269905</v>
      </c>
      <c r="C59" s="24"/>
    </row>
    <row r="60" spans="1:3" x14ac:dyDescent="0.3">
      <c r="A60" s="25" t="s">
        <v>97</v>
      </c>
      <c r="B60" s="26">
        <v>-14.503348743320201</v>
      </c>
      <c r="C60" s="27"/>
    </row>
    <row r="61" spans="1:3" x14ac:dyDescent="0.3">
      <c r="A61" s="12" t="s">
        <v>98</v>
      </c>
      <c r="B61" s="13">
        <v>-2.07667865105077</v>
      </c>
      <c r="C61" s="24"/>
    </row>
    <row r="62" spans="1:3" x14ac:dyDescent="0.3">
      <c r="A62" s="25" t="s">
        <v>99</v>
      </c>
      <c r="B62" s="26">
        <v>4.1491016626763297</v>
      </c>
      <c r="C62" s="27"/>
    </row>
    <row r="63" spans="1:3" x14ac:dyDescent="0.3">
      <c r="A63" s="12" t="s">
        <v>100</v>
      </c>
      <c r="B63" s="13">
        <v>0</v>
      </c>
      <c r="C63" s="29" t="s">
        <v>64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tabSelected="1" zoomScaleNormal="100" workbookViewId="0">
      <selection activeCell="I7" sqref="I7"/>
    </sheetView>
  </sheetViews>
  <sheetFormatPr defaultColWidth="8.6640625" defaultRowHeight="14.4" x14ac:dyDescent="0.3"/>
  <cols>
    <col min="1" max="1" width="48" customWidth="1"/>
    <col min="2" max="2" width="20" customWidth="1"/>
    <col min="3" max="3" width="44" customWidth="1"/>
    <col min="4" max="4" width="20" customWidth="1"/>
  </cols>
  <sheetData>
    <row r="1" spans="1:4" ht="24" customHeight="1" x14ac:dyDescent="0.3">
      <c r="A1" s="3" t="s">
        <v>101</v>
      </c>
      <c r="B1" s="3"/>
      <c r="C1" s="3"/>
      <c r="D1" s="3"/>
    </row>
    <row r="3" spans="1:4" x14ac:dyDescent="0.3">
      <c r="A3" s="2" t="s">
        <v>102</v>
      </c>
      <c r="B3" s="2"/>
      <c r="C3" s="2"/>
      <c r="D3" s="2"/>
    </row>
    <row r="5" spans="1:4" x14ac:dyDescent="0.3">
      <c r="A5" s="12" t="s">
        <v>103</v>
      </c>
      <c r="B5" s="30">
        <v>0.84775764163114198</v>
      </c>
      <c r="C5" s="14" t="s">
        <v>104</v>
      </c>
    </row>
    <row r="6" spans="1:4" x14ac:dyDescent="0.3">
      <c r="A6" s="12" t="s">
        <v>105</v>
      </c>
      <c r="B6" s="22">
        <v>507.735303364402</v>
      </c>
      <c r="C6" s="14" t="s">
        <v>106</v>
      </c>
    </row>
    <row r="7" spans="1:4" x14ac:dyDescent="0.3">
      <c r="A7" s="12" t="s">
        <v>107</v>
      </c>
      <c r="B7" s="22">
        <v>404.026169570077</v>
      </c>
      <c r="C7" s="14" t="s">
        <v>108</v>
      </c>
    </row>
    <row r="8" spans="1:4" x14ac:dyDescent="0.3">
      <c r="A8" s="12" t="s">
        <v>109</v>
      </c>
      <c r="B8" s="22">
        <v>2192.4706789151801</v>
      </c>
      <c r="C8" s="14" t="s">
        <v>110</v>
      </c>
    </row>
    <row r="9" spans="1:4" x14ac:dyDescent="0.3">
      <c r="A9" s="12" t="s">
        <v>111</v>
      </c>
      <c r="B9" s="31">
        <v>0.18427893857626701</v>
      </c>
      <c r="C9" s="14" t="s">
        <v>112</v>
      </c>
    </row>
    <row r="11" spans="1:4" x14ac:dyDescent="0.3">
      <c r="A11" s="2" t="s">
        <v>113</v>
      </c>
      <c r="B11" s="2"/>
      <c r="C11" s="2"/>
      <c r="D11" s="2"/>
    </row>
    <row r="12" spans="1:4" x14ac:dyDescent="0.3">
      <c r="A12" s="1" t="s">
        <v>114</v>
      </c>
      <c r="B12" s="1"/>
      <c r="C12" s="1"/>
      <c r="D12" s="1"/>
    </row>
    <row r="13" spans="1:4" x14ac:dyDescent="0.3">
      <c r="A13" s="1" t="s">
        <v>115</v>
      </c>
      <c r="B13" s="1"/>
      <c r="C13" s="1"/>
      <c r="D13" s="1"/>
    </row>
    <row r="14" spans="1:4" x14ac:dyDescent="0.3">
      <c r="A14" s="1" t="s">
        <v>116</v>
      </c>
      <c r="B14" s="1"/>
      <c r="C14" s="1"/>
      <c r="D14" s="1"/>
    </row>
    <row r="15" spans="1:4" x14ac:dyDescent="0.3">
      <c r="A15" s="6"/>
      <c r="B15" s="6"/>
      <c r="C15" s="6"/>
      <c r="D15" s="6"/>
    </row>
    <row r="16" spans="1:4" x14ac:dyDescent="0.3">
      <c r="A16" s="6" t="s">
        <v>117</v>
      </c>
      <c r="B16" s="6"/>
      <c r="C16" s="6"/>
      <c r="D16" s="6"/>
    </row>
    <row r="17" spans="1:4" x14ac:dyDescent="0.3">
      <c r="A17" s="6" t="s">
        <v>118</v>
      </c>
      <c r="B17" s="6"/>
      <c r="C17" s="6"/>
      <c r="D17" s="6"/>
    </row>
    <row r="19" spans="1:4" x14ac:dyDescent="0.3">
      <c r="A19" s="2" t="s">
        <v>119</v>
      </c>
      <c r="B19" s="2"/>
      <c r="C19" s="2"/>
      <c r="D19" s="2"/>
    </row>
    <row r="20" spans="1:4" x14ac:dyDescent="0.3">
      <c r="A20" s="6" t="s">
        <v>120</v>
      </c>
      <c r="B20" s="6"/>
      <c r="C20" s="6"/>
      <c r="D20" s="6"/>
    </row>
    <row r="21" spans="1:4" x14ac:dyDescent="0.3">
      <c r="A21" s="12" t="s">
        <v>121</v>
      </c>
      <c r="B21" s="22">
        <v>715.110776078963</v>
      </c>
    </row>
    <row r="22" spans="1:4" x14ac:dyDescent="0.3">
      <c r="A22" s="12" t="s">
        <v>122</v>
      </c>
      <c r="B22" s="22">
        <v>665.90646078747898</v>
      </c>
    </row>
    <row r="23" spans="1:4" x14ac:dyDescent="0.3">
      <c r="A23" s="12" t="s">
        <v>123</v>
      </c>
      <c r="B23" s="22">
        <v>1013.28730196829</v>
      </c>
    </row>
    <row r="24" spans="1:4" x14ac:dyDescent="0.3">
      <c r="A24" s="12" t="s">
        <v>124</v>
      </c>
      <c r="B24" s="32">
        <v>1.52166612225088</v>
      </c>
    </row>
    <row r="25" spans="1:4" x14ac:dyDescent="0.3">
      <c r="A25" s="12" t="s">
        <v>125</v>
      </c>
      <c r="B25" s="22">
        <v>2605.66611172171</v>
      </c>
    </row>
    <row r="26" spans="1:4" x14ac:dyDescent="0.3">
      <c r="A26" s="12" t="s">
        <v>126</v>
      </c>
      <c r="B26" s="22">
        <v>1517.50627010582</v>
      </c>
    </row>
    <row r="28" spans="1:4" x14ac:dyDescent="0.3">
      <c r="A28" s="2" t="s">
        <v>127</v>
      </c>
      <c r="B28" s="2"/>
      <c r="C28" s="2"/>
      <c r="D28" s="2"/>
    </row>
    <row r="29" spans="1:4" x14ac:dyDescent="0.3">
      <c r="A29" s="6" t="s">
        <v>128</v>
      </c>
      <c r="B29" s="6"/>
      <c r="C29" s="6"/>
      <c r="D29" s="6"/>
    </row>
    <row r="30" spans="1:4" x14ac:dyDescent="0.3">
      <c r="A30" s="6" t="s">
        <v>129</v>
      </c>
      <c r="B30" s="6"/>
      <c r="C30" s="6"/>
      <c r="D30" s="6"/>
    </row>
    <row r="31" spans="1:4" x14ac:dyDescent="0.3">
      <c r="A31" s="6" t="s">
        <v>130</v>
      </c>
      <c r="B31" s="6"/>
      <c r="C31" s="6"/>
      <c r="D31" s="6"/>
    </row>
    <row r="32" spans="1:4" x14ac:dyDescent="0.3">
      <c r="A32" s="6" t="s">
        <v>131</v>
      </c>
      <c r="B32" s="6"/>
      <c r="C32" s="6"/>
      <c r="D32" s="6"/>
    </row>
  </sheetData>
  <mergeCells count="16">
    <mergeCell ref="A32:D32"/>
    <mergeCell ref="A20:D20"/>
    <mergeCell ref="A28:D28"/>
    <mergeCell ref="A29:D29"/>
    <mergeCell ref="A30:D30"/>
    <mergeCell ref="A31:D31"/>
    <mergeCell ref="A14:D14"/>
    <mergeCell ref="A15:D15"/>
    <mergeCell ref="A16:D16"/>
    <mergeCell ref="A17:D17"/>
    <mergeCell ref="A19:D19"/>
    <mergeCell ref="A1:D1"/>
    <mergeCell ref="A3:D3"/>
    <mergeCell ref="A11:D11"/>
    <mergeCell ref="A12:D1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Calculadora</vt:lpstr>
      <vt:lpstr>Coeficientes</vt:lpstr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Valci Junior</cp:lastModifiedBy>
  <cp:revision>0</cp:revision>
  <dcterms:created xsi:type="dcterms:W3CDTF">2026-08-15T00:48:33Z</dcterms:created>
  <dcterms:modified xsi:type="dcterms:W3CDTF">2026-08-16T21:37:31Z</dcterms:modified>
  <dc:language>en-US</dc:language>
</cp:coreProperties>
</file>